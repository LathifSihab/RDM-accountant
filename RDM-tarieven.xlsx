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even" sheetId="1" state="visible" r:id="rId1"/>
    <sheet xmlns:r="http://schemas.openxmlformats.org/officeDocument/2006/relationships" name="Simulat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 #,##0;(€ #,##0);-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0F3D2E"/>
      <sz val="11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0F3D2E"/>
      <sz val="14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EF7F1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1" pivotButton="0" quotePrefix="0" xfId="0"/>
    <xf numFmtId="164" fontId="5" fillId="2" borderId="1" applyAlignment="1" pivotButton="0" quotePrefix="0" xfId="0">
      <alignment horizontal="right"/>
    </xf>
    <xf numFmtId="0" fontId="2" fillId="0" borderId="1" pivotButton="0" quotePrefix="0" xfId="0"/>
    <xf numFmtId="165" fontId="5" fillId="2" borderId="1" applyAlignment="1" pivotButton="0" quotePrefix="0" xfId="0">
      <alignment horizontal="right"/>
    </xf>
    <xf numFmtId="0" fontId="5" fillId="2" borderId="0" pivotButton="0" quotePrefix="0" xfId="0"/>
    <xf numFmtId="0" fontId="6" fillId="0" borderId="0" pivotButton="0" quotePrefix="0" xfId="0"/>
    <xf numFmtId="0" fontId="5" fillId="2" borderId="0" applyAlignment="1" pivotButton="0" quotePrefix="0" xfId="0">
      <alignment horizontal="left"/>
    </xf>
    <xf numFmtId="164" fontId="4" fillId="0" borderId="1" pivotButton="0" quotePrefix="0" xfId="0"/>
    <xf numFmtId="164" fontId="6" fillId="0" borderId="0" pivotButton="0" quotePrefix="0" xfId="0"/>
    <xf numFmtId="164" fontId="0" fillId="0" borderId="0" pivotButton="0" quotePrefix="0" xfId="0"/>
    <xf numFmtId="164" fontId="7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58" customWidth="1" min="4" max="4"/>
  </cols>
  <sheetData>
    <row r="2">
      <c r="B2" s="1" t="inlineStr">
        <is>
          <t>RDM Accountants — tarieven rekentool</t>
        </is>
      </c>
    </row>
    <row r="3">
      <c r="B3" s="2" t="inlineStr">
        <is>
          <t>Vul de gele cellen in. De rekentool op de site rekent met exact deze bedragen.</t>
        </is>
      </c>
    </row>
    <row r="5">
      <c r="B5" s="3" t="inlineStr">
        <is>
          <t>Legende</t>
        </is>
      </c>
    </row>
    <row r="6">
      <c r="B6" s="4" t="inlineStr">
        <is>
          <t>Gele cel: door RDM in te vullen</t>
        </is>
      </c>
      <c r="C6" s="5" t="n"/>
    </row>
    <row r="7">
      <c r="B7" s="4" t="inlineStr">
        <is>
          <t>Witte cel: berekend, niet wijzigen</t>
        </is>
      </c>
    </row>
    <row r="8">
      <c r="B8" s="2" t="inlineStr">
        <is>
          <t>Bedragen per maand in euro. Kortingen als percentage: 20% invullen als 20,0%.</t>
        </is>
      </c>
    </row>
    <row r="9">
      <c r="B9" s="2" t="inlineStr">
        <is>
          <t>Voorbeeld: staat er bij Eenmanszaak € 145, dan start elke eenmanszaak op € 145 per maand.</t>
        </is>
      </c>
    </row>
    <row r="11">
      <c r="B11" s="6" t="inlineStr">
        <is>
          <t>1. Basistarief per ondernemingsvorm</t>
        </is>
      </c>
      <c r="C11" s="7" t="n"/>
      <c r="D11" s="7" t="n"/>
    </row>
    <row r="12">
      <c r="B12" s="8" t="inlineStr">
        <is>
          <t>Eenmanszaak</t>
        </is>
      </c>
      <c r="C12" s="9" t="n">
        <v>145</v>
      </c>
      <c r="D12" s="10" t="inlineStr">
        <is>
          <t>Huidige demo-waarde — vervangen door jullie tarief.</t>
        </is>
      </c>
    </row>
    <row r="13">
      <c r="B13" s="8" t="inlineStr">
        <is>
          <t>Vzw</t>
        </is>
      </c>
      <c r="C13" s="9" t="n">
        <v>165</v>
      </c>
      <c r="D13" s="10" t="inlineStr"/>
    </row>
    <row r="14">
      <c r="B14" s="8" t="inlineStr">
        <is>
          <t>Vennootschap (BV, NV, CommV, VOF)</t>
        </is>
      </c>
      <c r="C14" s="9" t="n">
        <v>245</v>
      </c>
      <c r="D14" s="10" t="inlineStr">
        <is>
          <t>Eén tarief voor alle vennootschapsvormen.</t>
        </is>
      </c>
    </row>
    <row r="16">
      <c r="B16" s="6" t="inlineStr">
        <is>
          <t>2. Toeslag naar jaaromzet</t>
        </is>
      </c>
      <c r="C16" s="7" t="n"/>
      <c r="D16" s="7" t="n"/>
    </row>
    <row r="17">
      <c r="B17" s="8" t="inlineStr">
        <is>
          <t>Minder dan € 75.000</t>
        </is>
      </c>
      <c r="C17" s="9" t="n">
        <v>0</v>
      </c>
      <c r="D17" s="10" t="inlineStr">
        <is>
          <t>Geen toeslag.</t>
        </is>
      </c>
    </row>
    <row r="18">
      <c r="B18" s="8" t="inlineStr">
        <is>
          <t>€ 75.000 – € 150.000</t>
        </is>
      </c>
      <c r="C18" s="9" t="n">
        <v>30</v>
      </c>
      <c r="D18" s="10" t="inlineStr"/>
    </row>
    <row r="19">
      <c r="B19" s="8" t="inlineStr">
        <is>
          <t>€ 150.000 – € 350.000</t>
        </is>
      </c>
      <c r="C19" s="9" t="n">
        <v>75</v>
      </c>
      <c r="D19" s="10" t="inlineStr"/>
    </row>
    <row r="20">
      <c r="B20" s="8" t="inlineStr">
        <is>
          <t>€ 350.000 – € 750.000</t>
        </is>
      </c>
      <c r="C20" s="9" t="n">
        <v>140</v>
      </c>
      <c r="D20" s="10" t="inlineStr"/>
    </row>
    <row r="21">
      <c r="B21" s="8" t="inlineStr">
        <is>
          <t>€ 750.000 – € 1.500.000</t>
        </is>
      </c>
      <c r="C21" s="9" t="n">
        <v>230</v>
      </c>
      <c r="D21" s="10" t="inlineStr"/>
    </row>
    <row r="22">
      <c r="B22" s="2" t="inlineStr">
        <is>
          <t>Boven € 1.500.000 toont de site geen prijs maar een contactscherm.</t>
        </is>
      </c>
    </row>
    <row r="24">
      <c r="B24" s="6" t="inlineStr">
        <is>
          <t>3. Toeslag naar documenten per maand</t>
        </is>
      </c>
      <c r="C24" s="7" t="n"/>
      <c r="D24" s="7" t="n"/>
    </row>
    <row r="25">
      <c r="B25" s="8" t="inlineStr">
        <is>
          <t>Tot 25</t>
        </is>
      </c>
      <c r="C25" s="9" t="n">
        <v>0</v>
      </c>
      <c r="D25" s="10" t="inlineStr">
        <is>
          <t>Alle aankoop- en verkoopfacturen samen.</t>
        </is>
      </c>
    </row>
    <row r="26">
      <c r="B26" s="8" t="inlineStr">
        <is>
          <t>26 – 75</t>
        </is>
      </c>
      <c r="C26" s="9" t="n">
        <v>35</v>
      </c>
      <c r="D26" s="10" t="inlineStr"/>
    </row>
    <row r="27">
      <c r="B27" s="8" t="inlineStr">
        <is>
          <t>76 – 150</t>
        </is>
      </c>
      <c r="C27" s="9" t="n">
        <v>85</v>
      </c>
      <c r="D27" s="10" t="inlineStr"/>
    </row>
    <row r="28">
      <c r="B28" s="8" t="inlineStr">
        <is>
          <t>151 – 300</t>
        </is>
      </c>
      <c r="C28" s="9" t="n">
        <v>160</v>
      </c>
      <c r="D28" s="10" t="inlineStr"/>
    </row>
    <row r="29">
      <c r="B29" s="2" t="inlineStr">
        <is>
          <t>Boven 300 documenten toont de site een contactscherm.</t>
        </is>
      </c>
    </row>
    <row r="31">
      <c r="B31" s="6" t="inlineStr">
        <is>
          <t>4. Btw-regime</t>
        </is>
      </c>
      <c r="C31" s="7" t="n"/>
      <c r="D31" s="7" t="n"/>
    </row>
    <row r="32">
      <c r="B32" s="8" t="inlineStr">
        <is>
          <t>Vrijgesteld (kleine onderneming)</t>
        </is>
      </c>
      <c r="C32" s="9" t="n">
        <v>-15</v>
      </c>
      <c r="D32" s="10" t="inlineStr">
        <is>
          <t>Negatief bedrag = korting.</t>
        </is>
      </c>
    </row>
    <row r="33">
      <c r="B33" s="8" t="inlineStr">
        <is>
          <t>Kwartaalaangifte</t>
        </is>
      </c>
      <c r="C33" s="9" t="n">
        <v>0</v>
      </c>
      <c r="D33" s="10" t="inlineStr"/>
    </row>
    <row r="34">
      <c r="B34" s="8" t="inlineStr">
        <is>
          <t>Maandaangifte</t>
        </is>
      </c>
      <c r="C34" s="9" t="n">
        <v>45</v>
      </c>
      <c r="D34" s="10" t="inlineStr"/>
    </row>
    <row r="36">
      <c r="B36" s="6" t="inlineStr">
        <is>
          <t>5. Extra's</t>
        </is>
      </c>
      <c r="C36" s="7" t="n"/>
      <c r="D36" s="7" t="n"/>
    </row>
    <row r="37">
      <c r="B37" s="8" t="inlineStr">
        <is>
          <t>Per werknemer op de loonlijst</t>
        </is>
      </c>
      <c r="C37" s="9" t="n">
        <v>40</v>
      </c>
      <c r="D37" s="10" t="inlineStr">
        <is>
          <t>Boven 20 werknemers: contactscherm.</t>
        </is>
      </c>
    </row>
    <row r="38">
      <c r="B38" s="8" t="inlineStr">
        <is>
          <t>Aangifte personenbelasting</t>
        </is>
      </c>
      <c r="C38" s="9" t="n">
        <v>15</v>
      </c>
      <c r="D38" s="10" t="inlineStr"/>
    </row>
    <row r="39">
      <c r="B39" s="8" t="inlineStr">
        <is>
          <t>Alles digitaal aanleveren</t>
        </is>
      </c>
      <c r="C39" s="9" t="n">
        <v>-10</v>
      </c>
      <c r="D39" s="10" t="inlineStr">
        <is>
          <t>Korting: maakt het papierloze voordeel zichtbaar in de prijs.</t>
        </is>
      </c>
    </row>
    <row r="41">
      <c r="B41" s="6" t="inlineStr">
        <is>
          <t>6. Kortingen en grenzen</t>
        </is>
      </c>
      <c r="C41" s="7" t="n"/>
      <c r="D41" s="7" t="n"/>
    </row>
    <row r="42">
      <c r="B42" s="8" t="inlineStr">
        <is>
          <t>Starter (nog op te starten of &lt; 1 jaar)</t>
        </is>
      </c>
      <c r="C42" s="11" t="n">
        <v>0.2</v>
      </c>
      <c r="D42" s="10" t="inlineStr">
        <is>
          <t>Percentage op het subtotaal.</t>
        </is>
      </c>
    </row>
    <row r="43">
      <c r="B43" s="8" t="inlineStr">
        <is>
          <t>Jaarlijks vooruitbetalen</t>
        </is>
      </c>
      <c r="C43" s="11" t="n">
        <v>0.05</v>
      </c>
      <c r="D43" s="10" t="inlineStr">
        <is>
          <t>Wordt ná de starterskorting toegepast.</t>
        </is>
      </c>
    </row>
    <row r="44">
      <c r="B44" s="8" t="inlineStr">
        <is>
          <t>Minimumtarief</t>
        </is>
      </c>
      <c r="C44" s="9" t="n">
        <v>125</v>
      </c>
      <c r="D44" s="10" t="inlineStr">
        <is>
          <t>Geen enkele combinatie komt hieronder.</t>
        </is>
      </c>
    </row>
    <row r="45">
      <c r="B45" s="8" t="inlineStr">
        <is>
          <t>Afronden op veelvoud van</t>
        </is>
      </c>
      <c r="C45" s="9" t="n">
        <v>5</v>
      </c>
      <c r="D45" s="10" t="inlineStr">
        <is>
          <t>Zet op 1 om niet af te ronden.</t>
        </is>
      </c>
    </row>
    <row r="47">
      <c r="B47" s="6" t="inlineStr">
        <is>
          <t>7. Btw-weergave op de site</t>
        </is>
      </c>
      <c r="C47" s="7" t="n"/>
      <c r="D47" s="7" t="n"/>
    </row>
    <row r="48">
      <c r="B48" s="4" t="inlineStr">
        <is>
          <t>Zijn de bedragen exclusief of inclusief btw?</t>
        </is>
      </c>
      <c r="C48" s="12" t="inlineStr">
        <is>
          <t>excl. btw</t>
        </is>
      </c>
      <c r="D48" s="2" t="inlineStr">
        <is>
          <t>De site vermeldt dit expliciet bij het resultaat.</t>
        </is>
      </c>
    </row>
    <row r="50">
      <c r="B50" s="2" t="inlineStr">
        <is>
          <t>Bron van de huidige waarden: de demo-cijfers uit docs/06-price-simulator-spec.md. Ze zijn verzonnen en moeten vervangen worden voor de site live gaat.</t>
        </is>
      </c>
    </row>
  </sheetData>
  <dataValidations count="1">
    <dataValidation sqref="C48" showDropDown="0" showInputMessage="0" showErrorMessage="0" allowBlank="0" type="list">
      <formula1>"excl. btw,incl. btw"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2" customWidth="1" min="3" max="3"/>
    <col width="16" customWidth="1" min="4" max="4"/>
    <col width="48" customWidth="1" min="5" max="5"/>
  </cols>
  <sheetData>
    <row r="2">
      <c r="B2" s="1" t="inlineStr">
        <is>
          <t>Probeer je tarieven uit</t>
        </is>
      </c>
    </row>
    <row r="3">
      <c r="B3" s="2" t="inlineStr">
        <is>
          <t>Kies in de gele cellen. Het bedrag onderaan rekent mee met blad Tarieven.</t>
        </is>
      </c>
    </row>
    <row r="5">
      <c r="B5" s="13" t="inlineStr">
        <is>
          <t>Ondernemingsvorm</t>
        </is>
      </c>
      <c r="C5" s="14" t="inlineStr">
        <is>
          <t>Eenmanszaak</t>
        </is>
      </c>
      <c r="E5" s="2" t="inlineStr"/>
    </row>
    <row r="6">
      <c r="B6" s="13" t="inlineStr">
        <is>
          <t>Hoe lang actief</t>
        </is>
      </c>
      <c r="C6" s="14" t="inlineStr">
        <is>
          <t>Langer dan 1 jaar</t>
        </is>
      </c>
      <c r="E6" s="2" t="inlineStr">
        <is>
          <t>De eerste twee geven de starterskorting.</t>
        </is>
      </c>
    </row>
    <row r="7">
      <c r="B7" s="13" t="inlineStr">
        <is>
          <t>Jaaromzet</t>
        </is>
      </c>
      <c r="C7" s="14" t="inlineStr">
        <is>
          <t>75.000 - 150.000</t>
        </is>
      </c>
      <c r="E7" s="2" t="inlineStr"/>
    </row>
    <row r="8">
      <c r="B8" s="13" t="inlineStr">
        <is>
          <t>Documenten per maand</t>
        </is>
      </c>
      <c r="C8" s="14" t="inlineStr">
        <is>
          <t>26 - 75</t>
        </is>
      </c>
      <c r="E8" s="2" t="inlineStr"/>
    </row>
    <row r="9">
      <c r="B9" s="13" t="inlineStr">
        <is>
          <t>Btw-regime</t>
        </is>
      </c>
      <c r="C9" s="14" t="inlineStr">
        <is>
          <t>Kwartaalaangifte</t>
        </is>
      </c>
      <c r="E9" s="2" t="inlineStr"/>
    </row>
    <row r="10">
      <c r="B10" s="13" t="inlineStr">
        <is>
          <t>Aantal werknemers</t>
        </is>
      </c>
      <c r="C10" s="12" t="n">
        <v>0</v>
      </c>
    </row>
    <row r="11">
      <c r="B11" s="13" t="inlineStr">
        <is>
          <t>Aangifte personenbelasting</t>
        </is>
      </c>
      <c r="C11" s="14" t="inlineStr">
        <is>
          <t>ja</t>
        </is>
      </c>
      <c r="E11" s="2" t="inlineStr"/>
    </row>
    <row r="12">
      <c r="B12" s="13" t="inlineStr">
        <is>
          <t>Alles digitaal aanleveren</t>
        </is>
      </c>
      <c r="C12" s="14" t="inlineStr">
        <is>
          <t>ja</t>
        </is>
      </c>
      <c r="E12" s="2" t="inlineStr"/>
    </row>
    <row r="13">
      <c r="B13" s="13" t="inlineStr">
        <is>
          <t>Jaarlijks vooruitbetalen</t>
        </is>
      </c>
      <c r="C13" s="14" t="inlineStr">
        <is>
          <t>nee</t>
        </is>
      </c>
      <c r="E13" s="2" t="inlineStr"/>
    </row>
    <row r="15">
      <c r="B15" s="6" t="inlineStr">
        <is>
          <t>Berekening</t>
        </is>
      </c>
      <c r="C15" s="7" t="n"/>
      <c r="E15" s="7" t="n"/>
    </row>
    <row r="16">
      <c r="B16" s="8" t="inlineStr">
        <is>
          <t>Basistarief</t>
        </is>
      </c>
      <c r="C16" s="15">
        <f>INDEX(Tarieven!$C$12:$C$14,MATCH(C5,{"Eenmanszaak";"Vzw";"Vennootschap"},0))</f>
        <v/>
      </c>
    </row>
    <row r="17">
      <c r="B17" s="8" t="inlineStr">
        <is>
          <t>Toeslag omzet</t>
        </is>
      </c>
      <c r="C17" s="15">
        <f>INDEX(Tarieven!$C$17:$C$21,MATCH(C7,{"Minder dan 75.000";"75.000 - 150.000";"150.000 - 350.000";"350.000 - 750.000";"750.000 - 1.500.000"},0))</f>
        <v/>
      </c>
    </row>
    <row r="18">
      <c r="B18" s="8" t="inlineStr">
        <is>
          <t>Toeslag documenten</t>
        </is>
      </c>
      <c r="C18" s="15">
        <f>INDEX(Tarieven!$C$25:$C$28,MATCH(C8,{"Tot 25";"26 - 75";"76 - 150";"151 - 300"},0))</f>
        <v/>
      </c>
    </row>
    <row r="19">
      <c r="B19" s="8" t="inlineStr">
        <is>
          <t>Btw-regime</t>
        </is>
      </c>
      <c r="C19" s="15">
        <f>INDEX(Tarieven!$C$32:$C$34,MATCH(C9,{"Vrijgesteld";"Kwartaalaangifte";"Maandaangifte"},0))</f>
        <v/>
      </c>
    </row>
    <row r="20">
      <c r="B20" s="8" t="inlineStr">
        <is>
          <t>Personeel</t>
        </is>
      </c>
      <c r="C20" s="15">
        <f>C10*Tarieven!$C$37</f>
        <v/>
      </c>
    </row>
    <row r="21">
      <c r="B21" s="8" t="inlineStr">
        <is>
          <t>Aangifte personenbelasting</t>
        </is>
      </c>
      <c r="C21" s="15">
        <f>IF(C11="ja",Tarieven!$C$38,0)</f>
        <v/>
      </c>
    </row>
    <row r="22">
      <c r="B22" s="13" t="inlineStr">
        <is>
          <t>Subtotaal</t>
        </is>
      </c>
      <c r="C22" s="16">
        <f>SUM(C16:C21)</f>
        <v/>
      </c>
    </row>
    <row r="23">
      <c r="B23" t="inlineStr">
        <is>
          <t>Digitaal aanleveren</t>
        </is>
      </c>
      <c r="C23" s="17">
        <f>IF(C12="ja",Tarieven!$C$39,0)</f>
        <v/>
      </c>
    </row>
    <row r="24">
      <c r="B24" t="inlineStr">
        <is>
          <t>Starterskorting</t>
        </is>
      </c>
      <c r="C24" s="17">
        <f>IF(OR(C6="Nog op te starten",C6="Minder dan 1 jaar"),-(C22+C23)*Tarieven!$C$42,0)</f>
        <v/>
      </c>
    </row>
    <row r="25">
      <c r="B25" t="inlineStr">
        <is>
          <t>Korting jaarlijks vooruitbetalen</t>
        </is>
      </c>
      <c r="C25" s="17">
        <f>IF(C13="ja",-(C22+C23+C24)*Tarieven!$C$43,0)</f>
        <v/>
      </c>
    </row>
    <row r="26">
      <c r="B26" s="13" t="inlineStr">
        <is>
          <t>Afgerond, met minimum</t>
        </is>
      </c>
      <c r="C26" s="18">
        <f>MAX(Tarieven!$C$44,ROUND((C22+C23+C24+C25)/Tarieven!$C$45,0)*Tarieven!$C$45)</f>
        <v/>
      </c>
      <c r="E26" s="2">
        <f>"Dit bedrag ziet de bezoeker, "&amp;Tarieven!C48</f>
        <v/>
      </c>
    </row>
    <row r="28">
      <c r="B28" s="3" t="inlineStr">
        <is>
          <t>Controle: de drie voorbeelden uit de specificatie</t>
        </is>
      </c>
    </row>
    <row r="29">
      <c r="B29" s="2" t="inlineStr">
        <is>
          <t>Deze rekenen met de bedragen op blad Tarieven. Pas je die aan, dan wijzigen ze mee — dat hoort zo.</t>
        </is>
      </c>
    </row>
    <row r="30">
      <c r="B30" s="19" t="inlineStr">
        <is>
          <t>Voorbeeld</t>
        </is>
      </c>
      <c r="C30" s="19" t="inlineStr">
        <is>
          <t>Verwacht (demo)</t>
        </is>
      </c>
      <c r="D30" s="19" t="inlineStr">
        <is>
          <t>Nu</t>
        </is>
      </c>
      <c r="E30" s="19" t="inlineStr">
        <is>
          <t>Verschil</t>
        </is>
      </c>
    </row>
    <row r="31">
      <c r="B31" s="4" t="inlineStr">
        <is>
          <t>A — eenmanszaak, € 95k, 30 docs, kwartaal, +PB, digitaal</t>
        </is>
      </c>
      <c r="C31" s="17" t="n">
        <v>215</v>
      </c>
      <c r="D31" s="17">
        <f>MAX(Tarieven!$C$44,ROUND((Tarieven!$C$12+Tarieven!$C$18+Tarieven!$C$26+Tarieven!$C$33+Tarieven!$C$38+Tarieven!$C$39)/Tarieven!$C$45,0)*Tarieven!$C$45)</f>
        <v/>
      </c>
      <c r="E31" s="2">
        <f>IF(D31=C31,"gelijk","verschil van "&amp;TEXT(D31-C31,"€ #,##0"))</f>
        <v/>
      </c>
    </row>
    <row r="32">
      <c r="B32" s="4" t="inlineStr">
        <is>
          <t>B — vennootschap, € 480k, 120 docs, maand, 3 wn, digitaal, jaarlijks</t>
        </is>
      </c>
      <c r="C32" s="17" t="n">
        <v>595</v>
      </c>
      <c r="D32" s="17">
        <f>MAX(Tarieven!$C$44,ROUND(((Tarieven!$C$14+Tarieven!$C$20+Tarieven!$C$27+Tarieven!$C$34+3*Tarieven!$C$37+Tarieven!$C$39)*(1-Tarieven!$C$43))/Tarieven!$C$45,0)*Tarieven!$C$45)</f>
        <v/>
      </c>
      <c r="E32" s="2">
        <f>IF(D32=C32,"gelijk","verschil van "&amp;TEXT(D32-C32,"€ #,##0"))</f>
        <v/>
      </c>
    </row>
    <row r="33">
      <c r="B33" s="4" t="inlineStr">
        <is>
          <t>C — starter, &lt; € 75k, 15 docs, vrijgesteld, +PB, digitaal</t>
        </is>
      </c>
      <c r="C33" s="17" t="n">
        <v>125</v>
      </c>
      <c r="D33" s="17">
        <f>MAX(Tarieven!$C$44,ROUND(((Tarieven!$C$12+Tarieven!$C$17+Tarieven!$C$25+Tarieven!$C$32+Tarieven!$C$38+Tarieven!$C$39)*(1-Tarieven!$C$42))/Tarieven!$C$45,0)*Tarieven!$C$45)</f>
        <v/>
      </c>
      <c r="E33" s="2">
        <f>IF(D33=C33,"gelijk","verschil van "&amp;TEXT(D33-C33,"€ #,##0"))</f>
        <v/>
      </c>
    </row>
  </sheetData>
  <dataValidations count="8">
    <dataValidation sqref="C5" showDropDown="0" showInputMessage="0" showErrorMessage="0" allowBlank="0" type="list">
      <formula1>"Eenmanszaak,Vzw,Vennootschap"</formula1>
    </dataValidation>
    <dataValidation sqref="C6" showDropDown="0" showInputMessage="0" showErrorMessage="0" allowBlank="0" type="list">
      <formula1>"Nog op te starten,Minder dan 1 jaar,Langer dan 1 jaar"</formula1>
    </dataValidation>
    <dataValidation sqref="C7" showDropDown="0" showInputMessage="0" showErrorMessage="0" allowBlank="0" type="list">
      <formula1>"Minder dan 75.000,75.000 - 150.000,150.000 - 350.000,350.000 - 750.000,750.000 - 1.500.000"</formula1>
    </dataValidation>
    <dataValidation sqref="C8" showDropDown="0" showInputMessage="0" showErrorMessage="0" allowBlank="0" type="list">
      <formula1>"Tot 25,26 - 75,76 - 150,151 - 300"</formula1>
    </dataValidation>
    <dataValidation sqref="C9" showDropDown="0" showInputMessage="0" showErrorMessage="0" allowBlank="0" type="list">
      <formula1>"Vrijgesteld,Kwartaalaangifte,Maandaangifte"</formula1>
    </dataValidation>
    <dataValidation sqref="C11" showDropDown="0" showInputMessage="0" showErrorMessage="0" allowBlank="0" type="list">
      <formula1>"ja,nee"</formula1>
    </dataValidation>
    <dataValidation sqref="C12" showDropDown="0" showInputMessage="0" showErrorMessage="0" allowBlank="0" type="list">
      <formula1>"ja,nee"</formula1>
    </dataValidation>
    <dataValidation sqref="C13" showDropDown="0" showInputMessage="0" showErrorMessage="0" allowBlank="0" type="list">
      <formula1>"ja,nee"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2026-09-21T14:09:29Z</dcterms:created>
  <dcterms:modified xmlns:dcterms="http://purl.org/dc/terms/" xmlns:xsi="http://www.w3.org/2001/XMLSchema-instance" xsi:type="dcterms:W3CDTF">2026-09-21T14:09:29Z</dcterms:modified>
</cp:coreProperties>
</file>